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enja" sheetId="1" state="visible" r:id="rId3"/>
    <sheet name="Analiz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<sst xmlns="http://schemas.openxmlformats.org/spreadsheetml/2006/main" count="40" uniqueCount="40">
  <si>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Radix LENS — paralelni merge (PackedLoserTree, 100M el., 12 run-ova, seed 42, 15 ponavljanja, C: NVMe)</t>
  </si>
  <si>
    <t xml:space="preserve">Merge niti</t>
  </si>
  <si>
    <t xml:space="preserve">Merge core med (ms)</t>
  </si>
  <si>
    <t xml:space="preserve">Merge core min</t>
  </si>
  <si>
    <t xml:space="preserve">Merge core max</t>
  </si>
  <si>
    <t xml:space="preserve">Priprema med (ms)</t>
  </si>
  <si>
    <t xml:space="preserve">Priprema min</t>
  </si>
  <si>
    <t xml:space="preserve">Priprema max</t>
  </si>
  <si>
    <t xml:space="preserve">I/O upis run-ova (ms)</t>
  </si>
  <si>
    <t xml:space="preserve">Ukupno bez verif. med</t>
  </si>
  <si>
    <t xml:space="preserve">Ukupno min</t>
  </si>
  <si>
    <t xml:space="preserve">Ukupno max</t>
  </si>
  <si>
    <t xml:space="preserve">Najveća particija (× proseka)</t>
  </si>
  <si>
    <t xml:space="preserve">Merge core raspon (ms)</t>
  </si>
  <si>
    <t xml:space="preserve">Ubrzanje vs N=1 (med)</t>
  </si>
  <si>
    <t xml:space="preserve">Ubrzanje vs N=1 (min)</t>
  </si>
  <si>
    <t xml:space="preserve">sekv. (ranije)</t>
  </si>
  <si>
    <t xml:space="preserve">1</t>
  </si>
  <si>
    <t xml:space="preserve">2</t>
  </si>
  <si>
    <t xml:space="preserve">4</t>
  </si>
  <si>
    <t xml:space="preserve">8</t>
  </si>
  <si>
    <t xml:space="preserve">Izvor: izlaz radix_lens_bench koji je korisnik pokrenuo 11.10.2026 (sekvencijalni red iz ranijeg merenja sa istim seed-om). Plavo = izmereno; crno = formule.</t>
  </si>
  <si>
    <t xml:space="preserve">Ubrzanje &gt; 1 = brže od N=1. Prema min vrednostima N=8 dostiže 1,41×, ali medijana je sporija od N=1 → dominira varijacija, ne paralelizam.</t>
  </si>
  <si>
    <t xml:space="preserve">Analiza i sledeći korak</t>
  </si>
  <si>
    <t xml:space="preserve">Ishod</t>
  </si>
  <si>
    <t xml:space="preserve">Hipoteza (150–250 ms) nije potvrđena: paralelni merge ne skalira, rasponi su ogromni.</t>
  </si>
  <si>
    <t xml:space="preserve">Ispravno</t>
  </si>
  <si>
    <t xml:space="preserve">N=1 = sekvencijalni put (832 vs 836 ms, uzak raspon) → nova putanja nema trošak. Particije 1,001×, 4,000 poređenja/el., sve PROLAZ.</t>
  </si>
  <si>
    <t xml:space="preserve">Ključni trag</t>
  </si>
  <si>
    <t xml:space="preserve">Varira i priprema, koja ne koristi merge niti (N=4: I/O upis run-ova 801 ms umesto ~400). Merge jednog ponavljanja kvari pripremu sledećeg → Windows keš/disk, ne CPU.</t>
  </si>
  <si>
    <t xml:space="preserve">Hipoteza</t>
  </si>
  <si>
    <t xml:space="preserve">NTFS dopuna nulama: izlaz se unapred postavlja na punu dužinu (set_len), niti pišu na različitim pomerajima; upis daleko iza do sada upisanog dela tera NTFS da sinhrono upiše nule ispred. Prljave stranice aktiviraju kočenje upisa u kešu.</t>
  </si>
  <si>
    <t xml:space="preserve">Zašto ne na Linux-u</t>
  </si>
  <si>
    <t xml:space="preserve">Linux ostavlja fajl proređenim (bez dopune nulama) → tamo je N=2 skaliralo.</t>
  </si>
  <si>
    <t xml:space="preserve">Test (jedna izmena)</t>
  </si>
  <si>
    <t xml:space="preserve">Svaka nit piše u svoj fajl (final_X.part0…part7); provera ih čita redom. Spajanje i particije ostaju isti.</t>
  </si>
  <si>
    <t xml:space="preserve">Ako je hipoteza tačna</t>
  </si>
  <si>
    <t xml:space="preserve">N=2/4/8 skaliraju, rasponi se sužavaju, priprema se vraća na ~530–600 ms.</t>
  </si>
  <si>
    <t xml:space="preserve">Ako nije</t>
  </si>
  <si>
    <t xml:space="preserve">Velika varijacija ostaje → verovatniji uzrok je propusna moć memorije ili keš; gledati profilerom.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</si>
</sst>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\×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3"/>
  </cols>
  <sheetData>
    <row r="1" customFormat="false" ht="1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customFormat="false" ht="15" hidden="false" customHeight="false" outlineLevel="0" collapsed="false">
      <c r="A4" s="3" t="s">
        <v>16</v>
      </c>
      <c r="B4" s="4" t="n">
        <v>836</v>
      </c>
      <c r="C4" s="4" t="n">
        <v>817</v>
      </c>
      <c r="D4" s="4" t="n">
        <v>876</v>
      </c>
      <c r="E4" s="4" t="n">
        <v>557</v>
      </c>
      <c r="F4" s="4" t="n">
        <v>532</v>
      </c>
      <c r="G4" s="4" t="n">
        <v>597</v>
      </c>
      <c r="H4" s="4" t="n">
        <v>421</v>
      </c>
      <c r="I4" s="4" t="n">
        <v>1410</v>
      </c>
      <c r="J4" s="4" t="n">
        <v>1376</v>
      </c>
      <c r="K4" s="4" t="n">
        <v>1475</v>
      </c>
      <c r="L4" s="5"/>
      <c r="M4" s="3" t="n">
        <f aca="false">D4-C4</f>
        <v>59</v>
      </c>
      <c r="N4" s="6" t="n">
        <f aca="false">$B$5/B4</f>
        <v>0.995215311004785</v>
      </c>
      <c r="O4" s="6" t="n">
        <f aca="false">$C$5/C4</f>
        <v>1.00979192166463</v>
      </c>
    </row>
    <row r="5" customFormat="false" ht="15" hidden="false" customHeight="false" outlineLevel="0" collapsed="false">
      <c r="A5" s="3" t="s">
        <v>17</v>
      </c>
      <c r="B5" s="4" t="n">
        <v>832</v>
      </c>
      <c r="C5" s="4" t="n">
        <v>825</v>
      </c>
      <c r="D5" s="4" t="n">
        <v>846</v>
      </c>
      <c r="E5" s="4" t="n">
        <v>542</v>
      </c>
      <c r="F5" s="4" t="n">
        <v>528</v>
      </c>
      <c r="G5" s="4" t="n">
        <v>661</v>
      </c>
      <c r="H5" s="4" t="n">
        <v>389</v>
      </c>
      <c r="I5" s="4" t="n">
        <v>1396</v>
      </c>
      <c r="J5" s="4" t="n">
        <v>1378</v>
      </c>
      <c r="K5" s="4" t="n">
        <v>1506</v>
      </c>
      <c r="L5" s="5" t="n">
        <v>1</v>
      </c>
      <c r="M5" s="3" t="n">
        <f aca="false">D5-C5</f>
        <v>21</v>
      </c>
      <c r="N5" s="6" t="n">
        <f aca="false">$B$5/B5</f>
        <v>1</v>
      </c>
      <c r="O5" s="6" t="n">
        <f aca="false">$C$5/C5</f>
        <v>1</v>
      </c>
    </row>
    <row r="6" customFormat="false" ht="15" hidden="false" customHeight="false" outlineLevel="0" collapsed="false">
      <c r="A6" s="3" t="s">
        <v>18</v>
      </c>
      <c r="B6" s="4" t="n">
        <v>736</v>
      </c>
      <c r="C6" s="4" t="n">
        <v>635</v>
      </c>
      <c r="D6" s="4" t="n">
        <v>1343</v>
      </c>
      <c r="E6" s="4" t="n">
        <v>664</v>
      </c>
      <c r="F6" s="4" t="n">
        <v>543</v>
      </c>
      <c r="G6" s="4" t="n">
        <v>1139</v>
      </c>
      <c r="H6" s="4" t="n">
        <v>451</v>
      </c>
      <c r="I6" s="4" t="n">
        <v>1420</v>
      </c>
      <c r="J6" s="4" t="n">
        <v>1207</v>
      </c>
      <c r="K6" s="4" t="n">
        <v>2334</v>
      </c>
      <c r="L6" s="5" t="n">
        <v>1</v>
      </c>
      <c r="M6" s="3" t="n">
        <f aca="false">D6-C6</f>
        <v>708</v>
      </c>
      <c r="N6" s="6" t="n">
        <f aca="false">$B$5/B6</f>
        <v>1.1304347826087</v>
      </c>
      <c r="O6" s="6" t="n">
        <f aca="false">$C$5/C6</f>
        <v>1.2992125984252</v>
      </c>
    </row>
    <row r="7" customFormat="false" ht="15" hidden="false" customHeight="false" outlineLevel="0" collapsed="false">
      <c r="A7" s="3" t="s">
        <v>19</v>
      </c>
      <c r="B7" s="4" t="n">
        <v>1403</v>
      </c>
      <c r="C7" s="4" t="n">
        <v>985</v>
      </c>
      <c r="D7" s="4" t="n">
        <v>2235</v>
      </c>
      <c r="E7" s="4" t="n">
        <v>902</v>
      </c>
      <c r="F7" s="4" t="n">
        <v>637</v>
      </c>
      <c r="G7" s="4" t="n">
        <v>1226</v>
      </c>
      <c r="H7" s="4" t="n">
        <v>801</v>
      </c>
      <c r="I7" s="4" t="n">
        <v>2365</v>
      </c>
      <c r="J7" s="4" t="n">
        <v>1733</v>
      </c>
      <c r="K7" s="4" t="n">
        <v>3171</v>
      </c>
      <c r="L7" s="5" t="n">
        <v>1.001</v>
      </c>
      <c r="M7" s="3" t="n">
        <f aca="false">D7-C7</f>
        <v>1250</v>
      </c>
      <c r="N7" s="6" t="n">
        <f aca="false">$B$5/B7</f>
        <v>0.593014967925873</v>
      </c>
      <c r="O7" s="6" t="n">
        <f aca="false">$C$5/C7</f>
        <v>0.83756345177665</v>
      </c>
    </row>
    <row r="8" customFormat="false" ht="15" hidden="false" customHeight="false" outlineLevel="0" collapsed="false">
      <c r="A8" s="3" t="s">
        <v>20</v>
      </c>
      <c r="B8" s="4" t="n">
        <v>1128</v>
      </c>
      <c r="C8" s="4" t="n">
        <v>587</v>
      </c>
      <c r="D8" s="4" t="n">
        <v>1536</v>
      </c>
      <c r="E8" s="4" t="n">
        <v>702</v>
      </c>
      <c r="F8" s="4" t="n">
        <v>539</v>
      </c>
      <c r="G8" s="4" t="n">
        <v>1099</v>
      </c>
      <c r="H8" s="4" t="n">
        <v>615</v>
      </c>
      <c r="I8" s="4" t="n">
        <v>1944</v>
      </c>
      <c r="J8" s="4" t="n">
        <v>1180</v>
      </c>
      <c r="K8" s="4" t="n">
        <v>2658</v>
      </c>
      <c r="L8" s="5" t="n">
        <v>1.001</v>
      </c>
      <c r="M8" s="3" t="n">
        <f aca="false">D8-C8</f>
        <v>949</v>
      </c>
      <c r="N8" s="6" t="n">
        <f aca="false">$B$5/B8</f>
        <v>0.73758865248227</v>
      </c>
      <c r="O8" s="6" t="n">
        <f aca="false">$C$5/C8</f>
        <v>1.40545144804089</v>
      </c>
    </row>
    <row r="10" customFormat="false" ht="15" hidden="false" customHeight="false" outlineLevel="0" collapsed="false">
      <c r="A10" s="7" t="s">
        <v>21</v>
      </c>
    </row>
    <row r="11" customFormat="false" ht="15" hidden="false" customHeight="false" outlineLevel="0" collapsed="false">
      <c r="A11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23</v>
      </c>
    </row>
    <row r="3" customFormat="false" ht="45" hidden="false" customHeight="true" outlineLevel="0" collapsed="false">
      <c r="A3" s="8" t="s">
        <v>24</v>
      </c>
      <c r="B3" s="9" t="s">
        <v>25</v>
      </c>
    </row>
    <row r="4" customFormat="false" ht="45" hidden="false" customHeight="true" outlineLevel="0" collapsed="false">
      <c r="A4" s="8" t="s">
        <v>26</v>
      </c>
      <c r="B4" s="9" t="s">
        <v>27</v>
      </c>
    </row>
    <row r="5" customFormat="false" ht="45" hidden="false" customHeight="true" outlineLevel="0" collapsed="false">
      <c r="A5" s="8" t="s">
        <v>28</v>
      </c>
      <c r="B5" s="9" t="s">
        <v>29</v>
      </c>
    </row>
    <row r="6" customFormat="false" ht="45" hidden="false" customHeight="true" outlineLevel="0" collapsed="false">
      <c r="A6" s="8" t="s">
        <v>30</v>
      </c>
      <c r="B6" s="9" t="s">
        <v>31</v>
      </c>
    </row>
    <row r="7" customFormat="false" ht="45" hidden="false" customHeight="true" outlineLevel="0" collapsed="false">
      <c r="A7" s="8" t="s">
        <v>32</v>
      </c>
      <c r="B7" s="9" t="s">
        <v>33</v>
      </c>
    </row>
    <row r="8" customFormat="false" ht="45" hidden="false" customHeight="true" outlineLevel="0" collapsed="false">
      <c r="A8" s="8" t="s">
        <v>34</v>
      </c>
      <c r="B8" s="9" t="s">
        <v>35</v>
      </c>
    </row>
    <row r="9" customFormat="false" ht="45" hidden="false" customHeight="true" outlineLevel="0" collapsed="false">
      <c r="A9" s="8" t="s">
        <v>36</v>
      </c>
      <c r="B9" s="9" t="s">
        <v>37</v>
      </c>
    </row>
    <row r="10" customFormat="false" ht="45" hidden="false" customHeight="true" outlineLevel="0" collapsed="false">
      <c r="A10" s="8" t="s">
        <v>38</v>
      </c>
      <c r="B10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2026-10-11T17:06:34Z</dcterms:created>
  <dc:creator>openpyxl</dc:creator>
  <dc:description/>
  <dc:language>en-US</dc:language>
  <cp:lastModifiedBy/>
  <dcterms:modified xsi:type="dcterms:W3CDTF">2026-10-11T17:06:34Z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